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sdaten" sheetId="1" state="visible" r:id="rId1"/>
    <sheet xmlns:r="http://schemas.openxmlformats.org/officeDocument/2006/relationships" name="Kennzahlen" sheetId="2" state="visible" r:id="rId2"/>
    <sheet xmlns:r="http://schemas.openxmlformats.org/officeDocument/2006/relationships" name="Visualisier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Veraenderung gegenueber Vortag in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'Visualisierung'!B3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'Visualisierung'!$A$4:$A$11</f>
            </numRef>
          </cat>
          <val>
            <numRef>
              <f>'Visualisierung'!$B$4:$B$11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Prozent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5" customWidth="1" min="4" max="4"/>
    <col width="16" customWidth="1" min="5" max="5"/>
    <col width="14" customWidth="1" min="6" max="6"/>
    <col width="15" customWidth="1" min="7" max="7"/>
    <col width="13" customWidth="1" min="8" max="8"/>
    <col width="13" customWidth="1" min="9" max="9"/>
    <col width="16" customWidth="1" min="10" max="10"/>
    <col width="17" customWidth="1" min="11" max="11"/>
    <col width="21" customWidth="1" min="12" max="12"/>
  </cols>
  <sheetData>
    <row r="1">
      <c r="A1" s="1" t="inlineStr">
        <is>
          <t>Kursuebersicht mit Tagesveraenderung</t>
        </is>
      </c>
    </row>
    <row r="2">
      <c r="A2" s="2" t="inlineStr">
        <is>
          <t>Stand: 11.03.2026 17:30:00  |  8 Wertpapiere  |  4 im Plus / 4 im Minus</t>
        </is>
      </c>
    </row>
    <row r="4">
      <c r="A4" s="3" t="inlineStr">
        <is>
          <t>Symbol</t>
        </is>
      </c>
      <c r="B4" s="3" t="inlineStr">
        <is>
          <t>Name</t>
        </is>
      </c>
      <c r="C4" s="3" t="inlineStr">
        <is>
          <t>Waehrung</t>
        </is>
      </c>
      <c r="D4" s="3" t="inlineStr">
        <is>
          <t>Aktueller Kurs</t>
        </is>
      </c>
      <c r="E4" s="3" t="inlineStr">
        <is>
          <t>Vortagesschluss</t>
        </is>
      </c>
      <c r="F4" s="3" t="inlineStr">
        <is>
          <t>Veraenderung</t>
        </is>
      </c>
      <c r="G4" s="3" t="inlineStr">
        <is>
          <t>Veraenderung %</t>
        </is>
      </c>
      <c r="H4" s="3" t="inlineStr">
        <is>
          <t>Tageshoch</t>
        </is>
      </c>
      <c r="I4" s="3" t="inlineStr">
        <is>
          <t>Tagestief</t>
        </is>
      </c>
      <c r="J4" s="3" t="inlineStr">
        <is>
          <t>Handelsspanne %</t>
        </is>
      </c>
      <c r="K4" s="3" t="inlineStr">
        <is>
          <t>Handelsvolumen</t>
        </is>
      </c>
      <c r="L4" s="3" t="inlineStr">
        <is>
          <t>Datenzeit</t>
        </is>
      </c>
    </row>
    <row r="5">
      <c r="A5" t="inlineStr">
        <is>
          <t>NVDA</t>
        </is>
      </c>
      <c r="B5" t="inlineStr">
        <is>
          <t>NVIDIA Corp.</t>
        </is>
      </c>
      <c r="C5" t="inlineStr">
        <is>
          <t>USD</t>
        </is>
      </c>
      <c r="D5" s="4" t="n">
        <v>142.18</v>
      </c>
      <c r="E5" s="4" t="n">
        <v>135.6</v>
      </c>
      <c r="F5" s="4">
        <f>D5-E5</f>
        <v/>
      </c>
      <c r="G5" s="5">
        <f>IF(E5=0,0,F5/E5)</f>
        <v/>
      </c>
      <c r="H5" s="4" t="n">
        <v>146.9</v>
      </c>
      <c r="I5" s="4" t="n">
        <v>139.55</v>
      </c>
      <c r="J5" s="5">
        <f>IF(I5=0,0,(H5-I5)/I5)</f>
        <v/>
      </c>
      <c r="K5" s="6" t="n">
        <v>198345612</v>
      </c>
      <c r="L5" s="7" t="n">
        <v>46092.72916666666</v>
      </c>
    </row>
    <row r="6">
      <c r="A6" t="inlineStr">
        <is>
          <t>UBSG.SW</t>
        </is>
      </c>
      <c r="B6" t="inlineStr">
        <is>
          <t>UBS Group AG</t>
        </is>
      </c>
      <c r="C6" t="inlineStr">
        <is>
          <t>CHF</t>
        </is>
      </c>
      <c r="D6" s="4" t="n">
        <v>28.94</v>
      </c>
      <c r="E6" s="4" t="n">
        <v>28.31</v>
      </c>
      <c r="F6" s="4">
        <f>D6-E6</f>
        <v/>
      </c>
      <c r="G6" s="5">
        <f>IF(E6=0,0,F6/E6)</f>
        <v/>
      </c>
      <c r="H6" s="4" t="n">
        <v>29.31</v>
      </c>
      <c r="I6" s="4" t="n">
        <v>28.55</v>
      </c>
      <c r="J6" s="5">
        <f>IF(I6=0,0,(H6-I6)/I6)</f>
        <v/>
      </c>
      <c r="K6" s="6" t="n">
        <v>8765432</v>
      </c>
      <c r="L6" s="7" t="n">
        <v>46092.72916666666</v>
      </c>
    </row>
    <row r="7">
      <c r="A7" t="inlineStr">
        <is>
          <t>AAPL</t>
        </is>
      </c>
      <c r="B7" t="inlineStr">
        <is>
          <t>Apple Inc.</t>
        </is>
      </c>
      <c r="C7" t="inlineStr">
        <is>
          <t>USD</t>
        </is>
      </c>
      <c r="D7" s="4" t="n">
        <v>218.45</v>
      </c>
      <c r="E7" s="4" t="n">
        <v>214.9</v>
      </c>
      <c r="F7" s="4">
        <f>D7-E7</f>
        <v/>
      </c>
      <c r="G7" s="5">
        <f>IF(E7=0,0,F7/E7)</f>
        <v/>
      </c>
      <c r="H7" s="4" t="n">
        <v>220.1</v>
      </c>
      <c r="I7" s="4" t="n">
        <v>216.8</v>
      </c>
      <c r="J7" s="5">
        <f>IF(I7=0,0,(H7-I7)/I7)</f>
        <v/>
      </c>
      <c r="K7" s="6" t="n">
        <v>54123456</v>
      </c>
      <c r="L7" s="7" t="n">
        <v>46092.72916666666</v>
      </c>
    </row>
    <row r="8">
      <c r="A8" t="inlineStr">
        <is>
          <t>ZURN.SW</t>
        </is>
      </c>
      <c r="B8" t="inlineStr">
        <is>
          <t>Zurich Insurance Group AG</t>
        </is>
      </c>
      <c r="C8" t="inlineStr">
        <is>
          <t>CHF</t>
        </is>
      </c>
      <c r="D8" s="4" t="n">
        <v>552.4</v>
      </c>
      <c r="E8" s="4" t="n">
        <v>551</v>
      </c>
      <c r="F8" s="4">
        <f>D8-E8</f>
        <v/>
      </c>
      <c r="G8" s="5">
        <f>IF(E8=0,0,F8/E8)</f>
        <v/>
      </c>
      <c r="H8" s="4" t="n">
        <v>556.2</v>
      </c>
      <c r="I8" s="4" t="n">
        <v>549.8</v>
      </c>
      <c r="J8" s="5">
        <f>IF(I8=0,0,(H8-I8)/I8)</f>
        <v/>
      </c>
      <c r="K8" s="6" t="n">
        <v>512345</v>
      </c>
      <c r="L8" s="7" t="n">
        <v>46092.72916666666</v>
      </c>
    </row>
    <row r="9">
      <c r="A9" t="inlineStr">
        <is>
          <t>NESN.SW</t>
        </is>
      </c>
      <c r="B9" t="inlineStr">
        <is>
          <t>Nestle SA</t>
        </is>
      </c>
      <c r="C9" t="inlineStr">
        <is>
          <t>CHF</t>
        </is>
      </c>
      <c r="D9" s="4" t="n">
        <v>79.86</v>
      </c>
      <c r="E9" s="4" t="n">
        <v>80.02</v>
      </c>
      <c r="F9" s="4">
        <f>D9-E9</f>
        <v/>
      </c>
      <c r="G9" s="5">
        <f>IF(E9=0,0,F9/E9)</f>
        <v/>
      </c>
      <c r="H9" s="4" t="n">
        <v>80.44</v>
      </c>
      <c r="I9" s="4" t="n">
        <v>79.52</v>
      </c>
      <c r="J9" s="5">
        <f>IF(I9=0,0,(H9-I9)/I9)</f>
        <v/>
      </c>
      <c r="K9" s="6" t="n">
        <v>4210987</v>
      </c>
      <c r="L9" s="7" t="n">
        <v>46092.72916666666</v>
      </c>
    </row>
    <row r="10">
      <c r="A10" t="inlineStr">
        <is>
          <t>MSFT</t>
        </is>
      </c>
      <c r="B10" t="inlineStr">
        <is>
          <t>Microsoft Corp.</t>
        </is>
      </c>
      <c r="C10" t="inlineStr">
        <is>
          <t>USD</t>
        </is>
      </c>
      <c r="D10" s="4" t="n">
        <v>428.72</v>
      </c>
      <c r="E10" s="4" t="n">
        <v>430.15</v>
      </c>
      <c r="F10" s="4">
        <f>D10-E10</f>
        <v/>
      </c>
      <c r="G10" s="5">
        <f>IF(E10=0,0,F10/E10)</f>
        <v/>
      </c>
      <c r="H10" s="4" t="n">
        <v>431.55</v>
      </c>
      <c r="I10" s="4" t="n">
        <v>426.4</v>
      </c>
      <c r="J10" s="5">
        <f>IF(I10=0,0,(H10-I10)/I10)</f>
        <v/>
      </c>
      <c r="K10" s="6" t="n">
        <v>23456789</v>
      </c>
      <c r="L10" s="7" t="n">
        <v>46092.72916666666</v>
      </c>
    </row>
    <row r="11">
      <c r="A11" t="inlineStr">
        <is>
          <t>SAP.DE</t>
        </is>
      </c>
      <c r="B11" t="inlineStr">
        <is>
          <t>SAP SE</t>
        </is>
      </c>
      <c r="C11" t="inlineStr">
        <is>
          <t>EUR</t>
        </is>
      </c>
      <c r="D11" s="4" t="n">
        <v>186.25</v>
      </c>
      <c r="E11" s="4" t="n">
        <v>188.05</v>
      </c>
      <c r="F11" s="4">
        <f>D11-E11</f>
        <v/>
      </c>
      <c r="G11" s="5">
        <f>IF(E11=0,0,F11/E11)</f>
        <v/>
      </c>
      <c r="H11" s="4" t="n">
        <v>187.4</v>
      </c>
      <c r="I11" s="4" t="n">
        <v>184.95</v>
      </c>
      <c r="J11" s="5">
        <f>IF(I11=0,0,(H11-I11)/I11)</f>
        <v/>
      </c>
      <c r="K11" s="6" t="n">
        <v>3123456</v>
      </c>
      <c r="L11" s="7" t="n">
        <v>46092.72916666666</v>
      </c>
    </row>
    <row r="12">
      <c r="A12" t="inlineStr">
        <is>
          <t>TSLA</t>
        </is>
      </c>
      <c r="B12" t="inlineStr">
        <is>
          <t>Tesla Inc.</t>
        </is>
      </c>
      <c r="C12" t="inlineStr">
        <is>
          <t>USD</t>
        </is>
      </c>
      <c r="D12" s="4" t="n">
        <v>246.3</v>
      </c>
      <c r="E12" s="4" t="n">
        <v>261.7</v>
      </c>
      <c r="F12" s="4">
        <f>D12-E12</f>
        <v/>
      </c>
      <c r="G12" s="5">
        <f>IF(E12=0,0,F12/E12)</f>
        <v/>
      </c>
      <c r="H12" s="4" t="n">
        <v>259.8</v>
      </c>
      <c r="I12" s="4" t="n">
        <v>243.1</v>
      </c>
      <c r="J12" s="5">
        <f>IF(I12=0,0,(H12-I12)/I12)</f>
        <v/>
      </c>
      <c r="K12" s="6" t="n">
        <v>112233445</v>
      </c>
      <c r="L12" s="7" t="n">
        <v>46092.72916666666</v>
      </c>
    </row>
  </sheetData>
  <mergeCells count="2">
    <mergeCell ref="A2:L2"/>
    <mergeCell ref="A1:L1"/>
  </mergeCells>
  <conditionalFormatting sqref="G5:G12">
    <cfRule type="colorScale" priority="1">
      <colorScale>
        <cfvo type="min"/>
        <cfvo type="num" val="0"/>
        <cfvo type="max"/>
        <color rgb="00F4B183"/>
        <color rgb="00FFFFFF"/>
        <color rgb="00A9D18E"/>
      </colorScale>
    </cfRule>
  </conditionalFormatting>
  <conditionalFormatting sqref="J5:J12">
    <cfRule type="dataBar" priority="2">
      <dataBar showValue="1">
        <cfvo type="min"/>
        <cfvo type="max"/>
        <color rgb="004F81BD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>
      <c r="A1" s="8" t="inlineStr">
        <is>
          <t>Auswertung des Abrufs</t>
        </is>
      </c>
    </row>
    <row r="3">
      <c r="A3" s="9" t="inlineStr">
        <is>
          <t>Anzahl Wertpapiere</t>
        </is>
      </c>
      <c r="B3" t="n">
        <v>8</v>
      </c>
    </row>
    <row r="4">
      <c r="A4" s="9" t="inlineStr">
        <is>
          <t>Im Plus</t>
        </is>
      </c>
      <c r="B4" t="n">
        <v>4</v>
      </c>
    </row>
    <row r="5">
      <c r="A5" s="9" t="inlineStr">
        <is>
          <t>Im Minus</t>
        </is>
      </c>
      <c r="B5" t="n">
        <v>4</v>
      </c>
    </row>
    <row r="6">
      <c r="A6" s="9" t="inlineStr">
        <is>
          <t>Unveraendert</t>
        </is>
      </c>
      <c r="B6" t="n">
        <v>0</v>
      </c>
    </row>
    <row r="7">
      <c r="A7" s="9" t="inlineStr">
        <is>
          <t>Durchschnittliche Veraenderung in %</t>
        </is>
      </c>
      <c r="B7" t="n">
        <v>0.2</v>
      </c>
    </row>
    <row r="8">
      <c r="A8" s="9" t="inlineStr">
        <is>
          <t>Gesamtes Handelsvolumen</t>
        </is>
      </c>
      <c r="B8" t="n">
        <v>404771522</v>
      </c>
    </row>
    <row r="9">
      <c r="A9" s="9" t="inlineStr">
        <is>
          <t>Tagesbester</t>
        </is>
      </c>
      <c r="B9" t="inlineStr">
        <is>
          <t>NVDA (4.85 %)</t>
        </is>
      </c>
    </row>
    <row r="10">
      <c r="A10" s="9" t="inlineStr">
        <is>
          <t>Tagesschlechtester</t>
        </is>
      </c>
      <c r="B10" t="inlineStr">
        <is>
          <t>TSLA (-5.88 %)</t>
        </is>
      </c>
    </row>
    <row r="11">
      <c r="A11" s="9" t="inlineStr">
        <is>
          <t>Hoechste Handelsspanne</t>
        </is>
      </c>
      <c r="B11" t="inlineStr">
        <is>
          <t>TSLA (6.87 %)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8" t="inlineStr">
        <is>
          <t>Tagesveraenderung je Symbol</t>
        </is>
      </c>
    </row>
    <row r="3">
      <c r="A3" s="9" t="inlineStr">
        <is>
          <t>Symbol</t>
        </is>
      </c>
      <c r="B3" s="9" t="inlineStr">
        <is>
          <t>Veraenderung %</t>
        </is>
      </c>
    </row>
    <row r="4">
      <c r="A4" t="inlineStr">
        <is>
          <t>NVDA</t>
        </is>
      </c>
      <c r="B4" t="n">
        <v>4.85</v>
      </c>
    </row>
    <row r="5">
      <c r="A5" t="inlineStr">
        <is>
          <t>UBSG.SW</t>
        </is>
      </c>
      <c r="B5" t="n">
        <v>2.23</v>
      </c>
    </row>
    <row r="6">
      <c r="A6" t="inlineStr">
        <is>
          <t>AAPL</t>
        </is>
      </c>
      <c r="B6" t="n">
        <v>1.65</v>
      </c>
    </row>
    <row r="7">
      <c r="A7" t="inlineStr">
        <is>
          <t>ZURN.SW</t>
        </is>
      </c>
      <c r="B7" t="n">
        <v>0.25</v>
      </c>
    </row>
    <row r="8">
      <c r="A8" t="inlineStr">
        <is>
          <t>NESN.SW</t>
        </is>
      </c>
      <c r="B8" t="n">
        <v>-0.2</v>
      </c>
    </row>
    <row r="9">
      <c r="A9" t="inlineStr">
        <is>
          <t>MSFT</t>
        </is>
      </c>
      <c r="B9" t="n">
        <v>-0.33</v>
      </c>
    </row>
    <row r="10">
      <c r="A10" t="inlineStr">
        <is>
          <t>SAP.DE</t>
        </is>
      </c>
      <c r="B10" t="n">
        <v>-0.96</v>
      </c>
    </row>
    <row r="11">
      <c r="A11" t="inlineStr">
        <is>
          <t>TSLA</t>
        </is>
      </c>
      <c r="B11" t="n">
        <v>-5.88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2026-09-11T21:12:24Z</dcterms:created>
  <dcterms:modified xmlns:dcterms="http://purl.org/dc/terms/" xmlns:xsi="http://www.w3.org/2001/XMLSchema-instance" xsi:type="dcterms:W3CDTF">2026-09-11T21:12:24Z</dcterms:modified>
</cp:coreProperties>
</file>